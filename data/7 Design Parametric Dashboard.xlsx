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/>
  <mc:AlternateContent xmlns:mc="http://schemas.openxmlformats.org/markup-compatibility/2006">
    <mc:Choice Requires="x15">
      <x15ac:absPath xmlns:x15ac="http://schemas.microsoft.com/office/spreadsheetml/2010/11/ac" url="/Users/nirmitsachde/Library/CloudStorage/GoogleDrive-sachde.n@husky.neu.edu/My Drive/DAE/ACA/project 1/7 Design Parametric Dashboard/data/"/>
    </mc:Choice>
  </mc:AlternateContent>
  <xr:revisionPtr revIDLastSave="0" documentId="13_ncr:1_{0CA12B20-E963-4647-819D-3E586E5C8CB8}" xr6:coauthVersionLast="47" xr6:coauthVersionMax="47" xr10:uidLastSave="{00000000-0000-0000-0000-000000000000}"/>
  <bookViews>
    <workbookView xWindow="0" yWindow="0" windowWidth="38400" windowHeight="240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6g4vmh2fyFDduYD/UB6sLNUI9kB00AkN2ybdbIkJ3k="/>
    </ext>
  </extLst>
</workbook>
</file>

<file path=xl/calcChain.xml><?xml version="1.0" encoding="utf-8"?>
<calcChain xmlns="http://schemas.openxmlformats.org/spreadsheetml/2006/main">
  <c r="F4" i="1" l="1"/>
  <c r="D4" i="1"/>
  <c r="C4" i="1"/>
  <c r="D11" i="1" s="1"/>
  <c r="F11" i="1" s="1"/>
  <c r="E4" i="1" l="1"/>
  <c r="D8" i="1" s="1"/>
  <c r="G4" i="1" l="1"/>
  <c r="A8" i="1" s="1"/>
  <c r="C8" i="1" s="1"/>
  <c r="F8" i="1" l="1"/>
</calcChain>
</file>

<file path=xl/sharedStrings.xml><?xml version="1.0" encoding="utf-8"?>
<sst xmlns="http://schemas.openxmlformats.org/spreadsheetml/2006/main" count="17" uniqueCount="17">
  <si>
    <t xml:space="preserve">Parametric Design Dashboard for Feasibility Assessment of Lighter than Air Vehicle having Rotational Spherical Lifting Structure  </t>
  </si>
  <si>
    <t xml:space="preserve">Outer Radius [m] </t>
  </si>
  <si>
    <t>Thickness of Material [m]</t>
  </si>
  <si>
    <t xml:space="preserve">Inner Radius [m] </t>
  </si>
  <si>
    <r>
      <rPr>
        <b/>
        <u/>
        <sz val="11"/>
        <color theme="1"/>
        <rFont val="Calibri"/>
      </rPr>
      <t>Surface Area [m</t>
    </r>
    <r>
      <rPr>
        <b/>
        <u/>
        <vertAlign val="superscript"/>
        <sz val="11"/>
        <color theme="1"/>
        <rFont val="Calibri"/>
      </rPr>
      <t>2</t>
    </r>
    <r>
      <rPr>
        <b/>
        <u/>
        <sz val="11"/>
        <color theme="1"/>
        <rFont val="Calibri"/>
      </rPr>
      <t>]</t>
    </r>
  </si>
  <si>
    <t>Interior Void Volume of Sphere [m3]</t>
  </si>
  <si>
    <t>Total Volume of Sphere [m3]</t>
  </si>
  <si>
    <t>Volumetric Difference [m3]</t>
  </si>
  <si>
    <t>Density of Sphere Material [kg/m3]</t>
  </si>
  <si>
    <t>Total Mass of Sphere Material [kg]</t>
  </si>
  <si>
    <t>Mass of Interior Displaced Air [kg]</t>
  </si>
  <si>
    <t>Mass Available for Components [kg]</t>
  </si>
  <si>
    <t>Standard Patm [Pa]</t>
  </si>
  <si>
    <t>Internal Sphere Pressure [Pa]</t>
  </si>
  <si>
    <t xml:space="preserve">Balanced Rotational Speed, BRS [rad/s] </t>
  </si>
  <si>
    <t>Balanced Rotational Speed, BRS [rpm]</t>
  </si>
  <si>
    <t>Resulting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</si>
</sst>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8"/>
      <color theme="1"/>
      <name val="Calibri"/>
    </font>
    <font>
      <b/>
      <u/>
      <sz val="11"/>
      <color theme="1"/>
      <name val="Calibri"/>
    </font>
    <font>
      <sz val="11"/>
      <color theme="1"/>
      <name val="Calibri"/>
      <scheme val="minor"/>
    </font>
    <font>
      <sz val="14"/>
      <color theme="1"/>
      <name val="Calibri"/>
    </font>
    <font>
      <b/>
      <u/>
      <sz val="11"/>
      <color theme="1"/>
      <name val="Calibri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9"/>
      <color rgb="FF000000"/>
      <name val="&quot;Google Sans Mono&quot;"/>
    </font>
    <font>
      <b/>
      <u/>
      <vertAlign val="superscript"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5" fillId="0" borderId="0" xfId="0" applyFont="1"/>
    <xf numFmtId="0" fontId="8" fillId="2" borderId="0" xfId="0" applyFont="1" applyFill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4" xfId="0" applyFont="1" applyBorder="1"/>
    <xf numFmtId="0" fontId="2" fillId="0" borderId="4" xfId="0" applyFont="1" applyBorder="1"/>
    <xf numFmtId="0" fontId="3" fillId="0" borderId="0" xfId="0" applyFont="1"/>
    <xf numFmtId="0" fontId="6" fillId="0" borderId="4" xfId="0" applyFont="1" applyBorder="1"/>
    <xf numFmtId="0" fontId="6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8" sqref="C8"/>
    </sheetView>
  </sheetViews>
  <sheetFormatPr baseColWidth="10" defaultColWidth="14.5" defaultRowHeight="15" customHeight="1"/>
  <cols>
    <col min="1" max="1" width="22.6640625" customWidth="1"/>
    <col min="2" max="2" width="24.1640625" customWidth="1"/>
    <col min="3" max="3" width="21.1640625" customWidth="1"/>
    <col min="4" max="4" width="17.83203125" customWidth="1"/>
    <col min="5" max="5" width="32.1640625" customWidth="1"/>
    <col min="6" max="6" width="26.6640625" customWidth="1"/>
    <col min="7" max="7" width="24.1640625" customWidth="1"/>
    <col min="8" max="8" width="32.1640625" customWidth="1"/>
    <col min="9" max="9" width="8.6640625" customWidth="1"/>
    <col min="10" max="10" width="10.5" customWidth="1"/>
    <col min="11" max="11" width="13.5" customWidth="1"/>
    <col min="12" max="12" width="12.6640625" customWidth="1"/>
    <col min="13" max="13" width="27.1640625" customWidth="1"/>
    <col min="14" max="14" width="12.6640625" customWidth="1"/>
    <col min="15" max="15" width="17.33203125" customWidth="1"/>
    <col min="16" max="16" width="8.6640625" customWidth="1"/>
    <col min="17" max="17" width="17.83203125" customWidth="1"/>
    <col min="18" max="18" width="8.6640625" customWidth="1"/>
    <col min="19" max="19" width="16.6640625" customWidth="1"/>
    <col min="20" max="26" width="8.6640625" customWidth="1"/>
  </cols>
  <sheetData>
    <row r="1" spans="1:26" ht="21.5" customHeight="1">
      <c r="A1" s="4" t="s">
        <v>0</v>
      </c>
      <c r="B1" s="5"/>
      <c r="C1" s="5"/>
      <c r="D1" s="5"/>
      <c r="E1" s="5"/>
      <c r="F1" s="5"/>
      <c r="G1" s="5"/>
      <c r="H1" s="6"/>
    </row>
    <row r="2" spans="1:26" ht="14.25" customHeight="1">
      <c r="A2" s="7"/>
      <c r="H2" s="8"/>
    </row>
    <row r="3" spans="1:26" ht="14.25" customHeight="1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1" t="s">
        <v>8</v>
      </c>
      <c r="J3" s="1"/>
      <c r="L3" s="1"/>
      <c r="N3" s="1"/>
      <c r="O3" s="1"/>
      <c r="Q3" s="1"/>
      <c r="S3" s="1"/>
      <c r="U3" s="1"/>
      <c r="V3" s="1"/>
      <c r="W3" s="1"/>
      <c r="X3" s="1"/>
      <c r="Y3" s="1"/>
      <c r="Z3" s="1"/>
    </row>
    <row r="4" spans="1:26" ht="14.25" customHeight="1">
      <c r="A4" s="12">
        <v>5.0999999999999996</v>
      </c>
      <c r="B4" s="13">
        <v>5.0000000000000001E-4</v>
      </c>
      <c r="C4" s="13">
        <f>A4-B4</f>
        <v>5.0994999999999999</v>
      </c>
      <c r="D4" s="13">
        <f>4*3.14*A4^2</f>
        <v>326.68559999999997</v>
      </c>
      <c r="E4" s="13">
        <f>1.33*3.14*C4^3</f>
        <v>553.814187730443</v>
      </c>
      <c r="F4" s="13">
        <f>1.33*3.14*A4^3</f>
        <v>553.97710619999998</v>
      </c>
      <c r="G4" s="13">
        <f>F4-E4</f>
        <v>0.16291846955698475</v>
      </c>
      <c r="H4" s="14">
        <v>1100</v>
      </c>
    </row>
    <row r="5" spans="1:26" ht="14.25" customHeight="1">
      <c r="A5" s="7"/>
      <c r="H5" s="8"/>
      <c r="I5" s="1"/>
    </row>
    <row r="6" spans="1:26" ht="14.25" customHeight="1">
      <c r="A6" s="15"/>
      <c r="H6" s="8"/>
    </row>
    <row r="7" spans="1:26" ht="14.25" customHeight="1">
      <c r="A7" s="16" t="s">
        <v>9</v>
      </c>
      <c r="B7" s="1"/>
      <c r="C7" s="1" t="s">
        <v>16</v>
      </c>
      <c r="D7" s="1" t="s">
        <v>10</v>
      </c>
      <c r="E7" s="1"/>
      <c r="F7" s="2" t="s">
        <v>11</v>
      </c>
      <c r="G7" s="1"/>
      <c r="H7" s="8"/>
      <c r="J7" s="1"/>
      <c r="K7" s="1"/>
      <c r="L7" s="1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2">
        <f>H4*G4</f>
        <v>179.21031651268322</v>
      </c>
      <c r="C8" t="str">
        <f>IF(A8 &gt; D8, "Negative Buoyancy", IF(A8 &lt; D8, "Positive Buoyancy", "Neutral Buoyancy"))</f>
        <v>Positive Buoyancy</v>
      </c>
      <c r="D8" s="17">
        <f>1.225*E4*(1-(B11/A11))</f>
        <v>644.50126097130305</v>
      </c>
      <c r="F8" s="13">
        <f>D8-A8</f>
        <v>465.29094445861983</v>
      </c>
      <c r="H8" s="8"/>
    </row>
    <row r="9" spans="1:26" ht="14.25" customHeight="1">
      <c r="A9" s="7"/>
      <c r="H9" s="8"/>
    </row>
    <row r="10" spans="1:26" ht="14.25" customHeight="1">
      <c r="A10" s="18" t="s">
        <v>12</v>
      </c>
      <c r="B10" s="19" t="s">
        <v>13</v>
      </c>
      <c r="D10" s="2" t="s">
        <v>14</v>
      </c>
      <c r="F10" s="2" t="s">
        <v>15</v>
      </c>
      <c r="H10" s="8"/>
      <c r="I10" s="1"/>
    </row>
    <row r="11" spans="1:26" ht="14.25" customHeight="1">
      <c r="A11" s="12">
        <v>101325</v>
      </c>
      <c r="B11" s="13">
        <v>5066.25</v>
      </c>
      <c r="D11" s="20">
        <f>SQRT((A11-B11)/(H4*B4*C4))</f>
        <v>185.25714465634516</v>
      </c>
      <c r="F11" s="21">
        <f>(9.549*D11)</f>
        <v>1769.0204743234399</v>
      </c>
      <c r="H11" s="8"/>
    </row>
    <row r="12" spans="1:26" ht="14.25" customHeight="1" thickBot="1">
      <c r="A12" s="22"/>
      <c r="B12" s="23"/>
      <c r="C12" s="23"/>
      <c r="D12" s="23"/>
      <c r="E12" s="23"/>
      <c r="F12" s="23"/>
      <c r="G12" s="23"/>
      <c r="H12" s="24"/>
      <c r="J12" s="1"/>
      <c r="K12" s="2"/>
      <c r="L12" s="1"/>
      <c r="M12" s="1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2"/>
      <c r="B13" s="2"/>
      <c r="C13" s="1"/>
      <c r="D13" s="1"/>
      <c r="E13" s="2"/>
      <c r="F13" s="1"/>
      <c r="G13" s="1"/>
      <c r="H13" s="1"/>
      <c r="I13" s="1"/>
      <c r="J13" s="1"/>
      <c r="K13" s="2"/>
      <c r="L13" s="1"/>
      <c r="M13" s="1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B14" s="3"/>
      <c r="K14" s="3"/>
      <c r="O14" s="3"/>
    </row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3" scale="8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5" defaultRowHeight="15" customHeight="1"/>
  <cols>
    <col min="1" max="26" width="8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4.5" defaultRowHeight="15" customHeight="1"/>
  <cols>
    <col min="1" max="26" width="8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Nirmit Ajay Sachde</cp:lastModifiedBy>
  <dcterms:created xsi:type="dcterms:W3CDTF">2023-02-23T16:46:25Z</dcterms:created>
  <dcterms:modified xsi:type="dcterms:W3CDTF">2026-03-02T19:18:11Z</dcterms:modified>
</cp:coreProperties>
</file>